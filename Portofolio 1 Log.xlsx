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activeTab="1"/>
  </bookViews>
  <sheets>
    <sheet name="Issues" sheetId="1" r:id="rId1"/>
    <sheet name="Feature.Eng"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4" i="1" l="1"/>
  <c r="G13" i="1" l="1"/>
  <c r="G2" i="1"/>
  <c r="G12" i="1"/>
  <c r="G11" i="1"/>
  <c r="G10" i="1"/>
  <c r="G3" i="1"/>
  <c r="G4" i="1"/>
  <c r="G5" i="1"/>
  <c r="G6" i="1"/>
  <c r="G7" i="1"/>
  <c r="G8" i="1"/>
  <c r="G9" i="1"/>
</calcChain>
</file>

<file path=xl/sharedStrings.xml><?xml version="1.0" encoding="utf-8"?>
<sst xmlns="http://schemas.openxmlformats.org/spreadsheetml/2006/main" count="117" uniqueCount="59">
  <si>
    <t>Table</t>
  </si>
  <si>
    <t>Column</t>
  </si>
  <si>
    <t>ID</t>
  </si>
  <si>
    <t>Issue Type</t>
  </si>
  <si>
    <t>Issue Description</t>
  </si>
  <si>
    <t>Rows</t>
  </si>
  <si>
    <t>Impact</t>
  </si>
  <si>
    <t>Solvable</t>
  </si>
  <si>
    <t>Resolution</t>
  </si>
  <si>
    <t>Status</t>
  </si>
  <si>
    <t>orders</t>
  </si>
  <si>
    <t>purchase_ts</t>
  </si>
  <si>
    <t>format</t>
  </si>
  <si>
    <t>missing date</t>
  </si>
  <si>
    <t>blank data</t>
  </si>
  <si>
    <t>product_name</t>
  </si>
  <si>
    <t>spelling</t>
  </si>
  <si>
    <t>inconsistent spelling of "27inches 4k gaming monitor" instead of "27in 4k gaming monitor"</t>
  </si>
  <si>
    <t>usd_price</t>
  </si>
  <si>
    <t>missing price</t>
  </si>
  <si>
    <t>price cannot be zero</t>
  </si>
  <si>
    <t>zero error</t>
  </si>
  <si>
    <t>marketing_channel</t>
  </si>
  <si>
    <t>missing channels</t>
  </si>
  <si>
    <t>account_creation_method</t>
  </si>
  <si>
    <t>missing account creation info</t>
  </si>
  <si>
    <t>country_code</t>
  </si>
  <si>
    <t>missing country codes</t>
  </si>
  <si>
    <t>region</t>
  </si>
  <si>
    <t>missing regions</t>
  </si>
  <si>
    <t>inaccurate</t>
  </si>
  <si>
    <t>x.x region mentioned</t>
  </si>
  <si>
    <t>order_ID</t>
  </si>
  <si>
    <t>duplicate</t>
  </si>
  <si>
    <t>duplicate order id</t>
  </si>
  <si>
    <t>ship_ts</t>
  </si>
  <si>
    <t>shipping date before purchase date</t>
  </si>
  <si>
    <t>Yes</t>
  </si>
  <si>
    <t>Fixed</t>
  </si>
  <si>
    <t>Inconsistent date format containing time</t>
  </si>
  <si>
    <t>Removed since no value</t>
  </si>
  <si>
    <t>Used delimiter to split time and reformat the dates correctly</t>
  </si>
  <si>
    <t>Unable to discover the missing date</t>
  </si>
  <si>
    <t>Purchase price cannot be zero hence removed</t>
  </si>
  <si>
    <t>Recategorized null to "unknown"</t>
  </si>
  <si>
    <t>Updated to correct spelling</t>
  </si>
  <si>
    <t>Removed since couldn't retreive the codes</t>
  </si>
  <si>
    <t>inconsistent spelling of "North America" instead of "NA"</t>
  </si>
  <si>
    <t>Filled in by looking up correct values</t>
  </si>
  <si>
    <t>Data entry error hence removed</t>
  </si>
  <si>
    <t>During data validation, we identified records where the shipping date (ship_ts) occurred before the purchase date (purchase_ts). Since it is logically impossible for an item to be shipped before it was purchased, these rows were considered invalid and excluded from the analysis.
To ensure the accuracy of metrics such as delivery time, on-time shipment rates, and order fulfillment analysis, only records with valid shipment dates were retained.</t>
  </si>
  <si>
    <t>delivery_days</t>
  </si>
  <si>
    <t>Improv Type</t>
  </si>
  <si>
    <t>column creation</t>
  </si>
  <si>
    <t>Derive metric for delivery performance analysis</t>
  </si>
  <si>
    <t>Done</t>
  </si>
  <si>
    <t>Improv Goal</t>
  </si>
  <si>
    <t>refund_flag</t>
  </si>
  <si>
    <t>Derived metric indicating whether an order was refunded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</si>
</sst>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Ebrima"/>
    </font>
    <font>
      <sz val="11"/>
      <color theme="1"/>
      <name val="Ebrima"/>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left" vertical="center"/>
    </xf>
    <xf numFmtId="0" fontId="0" fillId="0" borderId="0" xfId="0" applyAlignment="1">
      <alignment horizontal="left" vertical="center"/>
    </xf>
    <xf numFmtId="2" fontId="2" fillId="0" borderId="0" xfId="0" applyNumberFormat="1" applyFont="1" applyAlignment="1">
      <alignment horizontal="left" vertical="center"/>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workbookViewId="0">
      <selection activeCell="E13" sqref="E13"/>
    </sheetView>
  </sheetViews>
  <sheetFormatPr defaultRowHeight="14.4" x14ac:dyDescent="0.3"/>
  <cols>
    <col min="1" max="1" width="7.77734375" customWidth="1"/>
    <col min="2" max="2" width="13.77734375" customWidth="1"/>
    <col min="3" max="3" width="23.77734375" bestFit="1" customWidth="1"/>
    <col min="4" max="4" width="13.77734375" customWidth="1"/>
    <col min="5" max="5" width="40.77734375" customWidth="1"/>
    <col min="6" max="8" width="13.77734375" customWidth="1"/>
    <col min="9" max="9" width="40.77734375" customWidth="1"/>
    <col min="10" max="10" width="13.77734375" customWidth="1"/>
  </cols>
  <sheetData>
    <row r="1" spans="1:11" ht="16.8" x14ac:dyDescent="0.4">
      <c r="A1" s="1" t="s">
        <v>2</v>
      </c>
      <c r="B1" s="1" t="s">
        <v>0</v>
      </c>
      <c r="C1" s="1" t="s">
        <v>1</v>
      </c>
      <c r="D1" s="1" t="s">
        <v>3</v>
      </c>
      <c r="E1" s="1" t="s">
        <v>4</v>
      </c>
      <c r="F1" s="1" t="s">
        <v>5</v>
      </c>
      <c r="G1" s="1" t="s">
        <v>6</v>
      </c>
      <c r="H1" s="1" t="s">
        <v>7</v>
      </c>
      <c r="I1" s="1" t="s">
        <v>8</v>
      </c>
      <c r="J1" s="1" t="s">
        <v>9</v>
      </c>
      <c r="K1" s="1"/>
    </row>
    <row r="2" spans="1:11" ht="16.8" x14ac:dyDescent="0.3">
      <c r="A2" s="2">
        <v>1</v>
      </c>
      <c r="B2" s="2" t="s">
        <v>10</v>
      </c>
      <c r="C2" s="2" t="s">
        <v>11</v>
      </c>
      <c r="D2" s="2" t="s">
        <v>12</v>
      </c>
      <c r="E2" s="2" t="s">
        <v>39</v>
      </c>
      <c r="F2" s="2">
        <v>10</v>
      </c>
      <c r="G2" s="4">
        <f>(F2/20757)*100</f>
        <v>4.8176518764754053E-2</v>
      </c>
      <c r="H2" s="2" t="s">
        <v>37</v>
      </c>
      <c r="I2" s="2" t="s">
        <v>41</v>
      </c>
      <c r="J2" s="2" t="s">
        <v>38</v>
      </c>
    </row>
    <row r="3" spans="1:11" ht="16.8" x14ac:dyDescent="0.3">
      <c r="A3" s="2">
        <v>2</v>
      </c>
      <c r="B3" s="2" t="s">
        <v>10</v>
      </c>
      <c r="C3" s="2" t="s">
        <v>11</v>
      </c>
      <c r="D3" s="2" t="s">
        <v>14</v>
      </c>
      <c r="E3" s="2" t="s">
        <v>13</v>
      </c>
      <c r="F3" s="2">
        <v>1</v>
      </c>
      <c r="G3" s="4">
        <f>(F3/20757)*100</f>
        <v>4.8176518764754062E-3</v>
      </c>
      <c r="H3" s="2" t="s">
        <v>37</v>
      </c>
      <c r="I3" s="2" t="s">
        <v>42</v>
      </c>
      <c r="J3" s="2" t="s">
        <v>38</v>
      </c>
    </row>
    <row r="4" spans="1:11" ht="16.8" x14ac:dyDescent="0.3">
      <c r="A4" s="2">
        <v>3</v>
      </c>
      <c r="B4" s="2" t="s">
        <v>10</v>
      </c>
      <c r="C4" s="2" t="s">
        <v>15</v>
      </c>
      <c r="D4" s="2" t="s">
        <v>16</v>
      </c>
      <c r="E4" s="2" t="s">
        <v>17</v>
      </c>
      <c r="F4" s="2">
        <v>61</v>
      </c>
      <c r="G4" s="4">
        <f>(F4/20757)*100</f>
        <v>0.29387676446499977</v>
      </c>
      <c r="H4" s="2" t="s">
        <v>37</v>
      </c>
      <c r="I4" s="2" t="s">
        <v>45</v>
      </c>
      <c r="J4" s="2" t="s">
        <v>38</v>
      </c>
    </row>
    <row r="5" spans="1:11" ht="16.8" x14ac:dyDescent="0.3">
      <c r="A5" s="2">
        <v>4</v>
      </c>
      <c r="B5" s="2" t="s">
        <v>10</v>
      </c>
      <c r="C5" s="2" t="s">
        <v>18</v>
      </c>
      <c r="D5" s="2" t="s">
        <v>14</v>
      </c>
      <c r="E5" s="2" t="s">
        <v>19</v>
      </c>
      <c r="F5" s="2">
        <v>5</v>
      </c>
      <c r="G5" s="4">
        <f>(F5/20757)*100</f>
        <v>2.4088259382377027E-2</v>
      </c>
      <c r="H5" s="2" t="s">
        <v>37</v>
      </c>
      <c r="I5" s="2" t="s">
        <v>40</v>
      </c>
      <c r="J5" s="2" t="s">
        <v>38</v>
      </c>
    </row>
    <row r="6" spans="1:11" ht="16.8" x14ac:dyDescent="0.3">
      <c r="A6" s="2">
        <v>5</v>
      </c>
      <c r="B6" s="2" t="s">
        <v>10</v>
      </c>
      <c r="C6" s="2" t="s">
        <v>18</v>
      </c>
      <c r="D6" s="2" t="s">
        <v>21</v>
      </c>
      <c r="E6" s="2" t="s">
        <v>20</v>
      </c>
      <c r="F6" s="2">
        <v>29</v>
      </c>
      <c r="G6" s="4">
        <f>(F6/20757)*100</f>
        <v>0.13971190441778678</v>
      </c>
      <c r="H6" s="2" t="s">
        <v>37</v>
      </c>
      <c r="I6" s="2" t="s">
        <v>43</v>
      </c>
      <c r="J6" s="2" t="s">
        <v>38</v>
      </c>
    </row>
    <row r="7" spans="1:11" ht="16.8" x14ac:dyDescent="0.3">
      <c r="A7" s="2">
        <v>6</v>
      </c>
      <c r="B7" s="2" t="s">
        <v>10</v>
      </c>
      <c r="C7" s="2" t="s">
        <v>22</v>
      </c>
      <c r="D7" s="2" t="s">
        <v>14</v>
      </c>
      <c r="E7" s="2" t="s">
        <v>23</v>
      </c>
      <c r="F7" s="2">
        <v>83</v>
      </c>
      <c r="G7" s="4">
        <f>(F7/20757)*100</f>
        <v>0.39986510574745865</v>
      </c>
      <c r="H7" s="2" t="s">
        <v>37</v>
      </c>
      <c r="I7" s="2" t="s">
        <v>44</v>
      </c>
      <c r="J7" s="2" t="s">
        <v>38</v>
      </c>
    </row>
    <row r="8" spans="1:11" ht="16.8" x14ac:dyDescent="0.3">
      <c r="A8" s="2">
        <v>7</v>
      </c>
      <c r="B8" s="2" t="s">
        <v>10</v>
      </c>
      <c r="C8" s="2" t="s">
        <v>24</v>
      </c>
      <c r="D8" s="2" t="s">
        <v>14</v>
      </c>
      <c r="E8" s="2" t="s">
        <v>25</v>
      </c>
      <c r="F8" s="2">
        <v>83</v>
      </c>
      <c r="G8" s="4">
        <f>(F8/20757)*100</f>
        <v>0.39986510574745865</v>
      </c>
      <c r="H8" s="2" t="s">
        <v>37</v>
      </c>
      <c r="I8" s="2" t="s">
        <v>44</v>
      </c>
      <c r="J8" s="2" t="s">
        <v>38</v>
      </c>
    </row>
    <row r="9" spans="1:11" ht="16.8" x14ac:dyDescent="0.3">
      <c r="A9" s="2">
        <v>8</v>
      </c>
      <c r="B9" s="2" t="s">
        <v>10</v>
      </c>
      <c r="C9" s="2" t="s">
        <v>26</v>
      </c>
      <c r="D9" s="2" t="s">
        <v>14</v>
      </c>
      <c r="E9" s="2" t="s">
        <v>27</v>
      </c>
      <c r="F9" s="2">
        <v>37</v>
      </c>
      <c r="G9" s="4">
        <f>(F9/20757)*100</f>
        <v>0.17825311942959002</v>
      </c>
      <c r="H9" s="2" t="s">
        <v>37</v>
      </c>
      <c r="I9" s="2" t="s">
        <v>46</v>
      </c>
      <c r="J9" s="2" t="s">
        <v>38</v>
      </c>
    </row>
    <row r="10" spans="1:11" ht="16.8" x14ac:dyDescent="0.3">
      <c r="A10" s="2">
        <v>9</v>
      </c>
      <c r="B10" s="2" t="s">
        <v>28</v>
      </c>
      <c r="C10" s="2" t="s">
        <v>28</v>
      </c>
      <c r="D10" s="2" t="s">
        <v>14</v>
      </c>
      <c r="E10" s="2" t="s">
        <v>29</v>
      </c>
      <c r="F10" s="2">
        <v>2</v>
      </c>
      <c r="G10" s="4">
        <f>(F10/193)*100</f>
        <v>1.0362694300518136</v>
      </c>
      <c r="H10" s="2" t="s">
        <v>37</v>
      </c>
      <c r="I10" s="2" t="s">
        <v>48</v>
      </c>
      <c r="J10" s="2" t="s">
        <v>38</v>
      </c>
    </row>
    <row r="11" spans="1:11" ht="16.8" x14ac:dyDescent="0.3">
      <c r="A11" s="2">
        <v>10</v>
      </c>
      <c r="B11" s="2" t="s">
        <v>28</v>
      </c>
      <c r="C11" s="2" t="s">
        <v>28</v>
      </c>
      <c r="D11" s="2" t="s">
        <v>30</v>
      </c>
      <c r="E11" s="2" t="s">
        <v>31</v>
      </c>
      <c r="F11" s="2">
        <v>2</v>
      </c>
      <c r="G11" s="4">
        <f>(F11/193)*100</f>
        <v>1.0362694300518136</v>
      </c>
      <c r="H11" s="2" t="s">
        <v>37</v>
      </c>
      <c r="I11" s="2" t="s">
        <v>48</v>
      </c>
      <c r="J11" s="2" t="s">
        <v>38</v>
      </c>
    </row>
    <row r="12" spans="1:11" ht="16.8" x14ac:dyDescent="0.3">
      <c r="A12" s="2">
        <v>11</v>
      </c>
      <c r="B12" s="2" t="s">
        <v>10</v>
      </c>
      <c r="C12" s="2" t="s">
        <v>32</v>
      </c>
      <c r="D12" s="2" t="s">
        <v>33</v>
      </c>
      <c r="E12" s="2" t="s">
        <v>34</v>
      </c>
      <c r="F12" s="2">
        <v>145</v>
      </c>
      <c r="G12" s="4">
        <f>(F12/20757)*100</f>
        <v>0.6985595220889339</v>
      </c>
      <c r="H12" s="2" t="s">
        <v>37</v>
      </c>
      <c r="I12" s="2" t="s">
        <v>49</v>
      </c>
      <c r="J12" s="2" t="s">
        <v>38</v>
      </c>
    </row>
    <row r="13" spans="1:11" ht="201.6" x14ac:dyDescent="0.3">
      <c r="A13" s="2">
        <v>12</v>
      </c>
      <c r="B13" s="2" t="s">
        <v>10</v>
      </c>
      <c r="C13" s="2" t="s">
        <v>35</v>
      </c>
      <c r="D13" s="2" t="s">
        <v>30</v>
      </c>
      <c r="E13" s="2" t="s">
        <v>36</v>
      </c>
      <c r="F13" s="2">
        <v>2004</v>
      </c>
      <c r="G13" s="4">
        <f>(F13/20757)*100</f>
        <v>9.6545743604567136</v>
      </c>
      <c r="H13" s="2" t="s">
        <v>37</v>
      </c>
      <c r="I13" s="5" t="s">
        <v>50</v>
      </c>
      <c r="J13" s="2" t="s">
        <v>38</v>
      </c>
    </row>
    <row r="14" spans="1:11" ht="16.8" x14ac:dyDescent="0.3">
      <c r="A14" s="2">
        <v>13</v>
      </c>
      <c r="B14" s="2" t="s">
        <v>28</v>
      </c>
      <c r="C14" s="2" t="s">
        <v>28</v>
      </c>
      <c r="D14" s="2" t="s">
        <v>16</v>
      </c>
      <c r="E14" s="2" t="s">
        <v>47</v>
      </c>
      <c r="F14" s="2">
        <v>5</v>
      </c>
      <c r="G14" s="4">
        <f>(F14/193)*100</f>
        <v>2.5906735751295336</v>
      </c>
      <c r="H14" s="2" t="s">
        <v>37</v>
      </c>
      <c r="I14" s="2" t="s">
        <v>45</v>
      </c>
      <c r="J14" s="2" t="s">
        <v>38</v>
      </c>
    </row>
    <row r="15" spans="1:11" ht="16.8" x14ac:dyDescent="0.3">
      <c r="A15" s="2"/>
      <c r="B15" s="2"/>
      <c r="C15" s="2"/>
      <c r="D15" s="2"/>
      <c r="E15" s="2"/>
      <c r="F15" s="2"/>
      <c r="G15" s="2"/>
      <c r="H15" s="2"/>
      <c r="I15" s="2"/>
      <c r="J15" s="2"/>
    </row>
    <row r="16" spans="1:11" ht="16.8" x14ac:dyDescent="0.3">
      <c r="A16" s="2"/>
      <c r="B16" s="2"/>
      <c r="C16" s="2"/>
      <c r="D16" s="2"/>
      <c r="E16" s="2"/>
      <c r="F16" s="2"/>
      <c r="G16" s="2"/>
      <c r="H16" s="2"/>
      <c r="I16" s="2"/>
      <c r="J16" s="2"/>
    </row>
    <row r="17" spans="1:10" ht="16.8" x14ac:dyDescent="0.3">
      <c r="A17" s="2"/>
      <c r="B17" s="2"/>
      <c r="C17" s="2"/>
      <c r="D17" s="2"/>
      <c r="E17" s="2"/>
      <c r="F17" s="2"/>
      <c r="G17" s="2"/>
      <c r="H17" s="2"/>
      <c r="I17" s="2"/>
      <c r="J17" s="2"/>
    </row>
    <row r="18" spans="1:10" ht="16.8" x14ac:dyDescent="0.3">
      <c r="A18" s="2"/>
      <c r="B18" s="2"/>
      <c r="C18" s="2"/>
      <c r="D18" s="2"/>
      <c r="E18" s="2"/>
      <c r="F18" s="2"/>
      <c r="G18" s="2"/>
      <c r="H18" s="2"/>
      <c r="I18" s="2"/>
      <c r="J18" s="2"/>
    </row>
    <row r="19" spans="1:10" ht="16.8" x14ac:dyDescent="0.3">
      <c r="A19" s="2"/>
      <c r="B19" s="2"/>
      <c r="C19" s="2"/>
      <c r="D19" s="2"/>
      <c r="E19" s="2"/>
      <c r="F19" s="2"/>
      <c r="G19" s="2"/>
      <c r="H19" s="2"/>
      <c r="I19" s="2"/>
      <c r="J19" s="2"/>
    </row>
    <row r="20" spans="1:10" ht="16.8" x14ac:dyDescent="0.3">
      <c r="A20" s="2"/>
      <c r="B20" s="2"/>
      <c r="C20" s="2"/>
      <c r="D20" s="2"/>
      <c r="E20" s="2"/>
      <c r="F20" s="2"/>
      <c r="G20" s="2"/>
      <c r="H20" s="2"/>
      <c r="I20" s="2"/>
      <c r="J20" s="2"/>
    </row>
    <row r="21" spans="1:10" ht="16.8" x14ac:dyDescent="0.3">
      <c r="A21" s="2"/>
      <c r="B21" s="2"/>
      <c r="C21" s="2"/>
      <c r="D21" s="2"/>
      <c r="E21" s="2"/>
      <c r="F21" s="2"/>
      <c r="G21" s="2"/>
      <c r="H21" s="2"/>
      <c r="I21" s="2"/>
      <c r="J21" s="2"/>
    </row>
    <row r="22" spans="1:10" x14ac:dyDescent="0.3">
      <c r="A22" s="3"/>
      <c r="B22" s="3"/>
      <c r="C22" s="3"/>
      <c r="D22" s="3"/>
      <c r="E22" s="3"/>
      <c r="F22" s="3"/>
      <c r="G22" s="3"/>
      <c r="H22" s="3"/>
      <c r="I22" s="3"/>
      <c r="J22" s="3"/>
    </row>
    <row r="23" spans="1:10" x14ac:dyDescent="0.3">
      <c r="A23" s="3"/>
      <c r="B23" s="3"/>
      <c r="C23" s="3"/>
      <c r="D23" s="3"/>
      <c r="E23" s="3"/>
      <c r="F23" s="3"/>
      <c r="G23" s="3"/>
      <c r="H23" s="3"/>
      <c r="I23" s="3"/>
      <c r="J23" s="3"/>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tabSelected="1" workbookViewId="0">
      <selection activeCell="F4" sqref="F4"/>
    </sheetView>
  </sheetViews>
  <sheetFormatPr defaultRowHeight="14.4" x14ac:dyDescent="0.3"/>
  <cols>
    <col min="1" max="1" width="7.77734375" customWidth="1"/>
    <col min="2" max="2" width="13.77734375" customWidth="1"/>
    <col min="3" max="3" width="23.77734375" bestFit="1" customWidth="1"/>
    <col min="4" max="4" width="15.21875" bestFit="1" customWidth="1"/>
    <col min="5" max="5" width="52" bestFit="1" customWidth="1"/>
    <col min="6" max="6" width="13.77734375" customWidth="1"/>
  </cols>
  <sheetData>
    <row r="1" spans="1:6" ht="16.8" x14ac:dyDescent="0.4">
      <c r="A1" s="1" t="s">
        <v>2</v>
      </c>
      <c r="B1" s="1" t="s">
        <v>0</v>
      </c>
      <c r="C1" s="1" t="s">
        <v>1</v>
      </c>
      <c r="D1" s="1" t="s">
        <v>52</v>
      </c>
      <c r="E1" s="1" t="s">
        <v>56</v>
      </c>
      <c r="F1" s="1" t="s">
        <v>9</v>
      </c>
    </row>
    <row r="2" spans="1:6" ht="16.8" x14ac:dyDescent="0.3">
      <c r="A2" s="2">
        <v>1</v>
      </c>
      <c r="B2" s="2" t="s">
        <v>10</v>
      </c>
      <c r="C2" s="2" t="s">
        <v>51</v>
      </c>
      <c r="D2" s="2" t="s">
        <v>53</v>
      </c>
      <c r="E2" s="2" t="s">
        <v>54</v>
      </c>
      <c r="F2" s="2" t="s">
        <v>55</v>
      </c>
    </row>
    <row r="3" spans="1:6" ht="16.8" x14ac:dyDescent="0.3">
      <c r="A3" s="2">
        <v>2</v>
      </c>
      <c r="B3" s="2" t="s">
        <v>10</v>
      </c>
      <c r="C3" s="2" t="s">
        <v>57</v>
      </c>
      <c r="D3" s="2" t="s">
        <v>53</v>
      </c>
      <c r="E3" s="2" t="s">
        <v>58</v>
      </c>
      <c r="F3" s="2" t="s">
        <v>55</v>
      </c>
    </row>
    <row r="4" spans="1:6" ht="16.8" x14ac:dyDescent="0.3">
      <c r="A4" s="2"/>
      <c r="B4" s="2"/>
      <c r="C4" s="2"/>
      <c r="D4" s="2"/>
      <c r="E4" s="2"/>
      <c r="F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Issues</vt:lpstr>
      <vt:lpstr>Feature.Eng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2026-03-19T09:22:49Z</dcterms:modified>
</cp:coreProperties>
</file>